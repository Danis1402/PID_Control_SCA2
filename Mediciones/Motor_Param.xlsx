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820dbf13b2b2e/Escritorio/8vo Semestre/Sistemas de Control Automático 2/Git_PID/PID_Control_SCA2/"/>
    </mc:Choice>
  </mc:AlternateContent>
  <xr:revisionPtr revIDLastSave="274" documentId="8_{7C12B4B4-DE19-40FC-974C-A4044854BDE8}" xr6:coauthVersionLast="47" xr6:coauthVersionMax="47" xr10:uidLastSave="{67BB4201-574A-4054-9BF7-B98A4B76A1F4}"/>
  <bookViews>
    <workbookView xWindow="-120" yWindow="-120" windowWidth="20730" windowHeight="11160" activeTab="2" xr2:uid="{3505C609-621A-4D72-85AF-8C3EF7124E8D}"/>
  </bookViews>
  <sheets>
    <sheet name="Parámetros" sheetId="1" r:id="rId1"/>
    <sheet name="Velocidad" sheetId="2" r:id="rId2"/>
    <sheet name="Discretiz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D22" i="1"/>
  <c r="D21" i="1"/>
  <c r="D20" i="1"/>
  <c r="D19" i="1"/>
  <c r="D18" i="1"/>
  <c r="I20" i="2"/>
  <c r="I22" i="2" s="1"/>
  <c r="I24" i="2" s="1"/>
  <c r="I26" i="2" s="1"/>
  <c r="G12" i="1"/>
  <c r="F12" i="1"/>
  <c r="E4" i="1"/>
  <c r="F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tc={153150E6-C565-4DC9-ACC0-A7705D398430}</author>
  </authors>
  <commentList>
    <comment ref="G4" authorId="0" shapeId="0" xr:uid="{153150E6-C565-4DC9-ACC0-A7705D39843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Medido directamente entre los cables del devanado del motor </t>
      </text>
    </comment>
  </commentList>
</comments>
</file>

<file path=xl/sharedStrings.xml><?xml version="1.0" encoding="utf-8"?>
<sst xmlns="http://schemas.openxmlformats.org/spreadsheetml/2006/main" count="87" uniqueCount="31">
  <si>
    <t>Resistencia de armadura</t>
  </si>
  <si>
    <t>Voltaje de entrada [V]</t>
  </si>
  <si>
    <t>Corriente de entrada [A]</t>
  </si>
  <si>
    <t>R (Ohm)</t>
  </si>
  <si>
    <t>Velocidad del motor</t>
  </si>
  <si>
    <t>Voltaje</t>
  </si>
  <si>
    <t>Medicion</t>
  </si>
  <si>
    <r>
      <rPr>
        <sz val="11"/>
        <color theme="1"/>
        <rFont val="Aptos Narrow"/>
        <family val="2"/>
      </rPr>
      <t>ω (</t>
    </r>
    <r>
      <rPr>
        <sz val="11"/>
        <color theme="1"/>
        <rFont val="Aptos Narrow"/>
        <family val="2"/>
        <scheme val="minor"/>
      </rPr>
      <t>RPM)</t>
    </r>
  </si>
  <si>
    <t>ω (Rad/s)</t>
  </si>
  <si>
    <t>Tiempo (ms)</t>
  </si>
  <si>
    <t>Velocidad (RPM)</t>
  </si>
  <si>
    <t>Velocidad final (prom)</t>
  </si>
  <si>
    <t>Punto del 63.2%</t>
  </si>
  <si>
    <t>Tiempo para V(63.2%)</t>
  </si>
  <si>
    <t>τm</t>
  </si>
  <si>
    <t>Km = Kt</t>
  </si>
  <si>
    <t xml:space="preserve">Voltaje aplicado = 6.07 V </t>
  </si>
  <si>
    <t>Medición</t>
  </si>
  <si>
    <t>Promed</t>
  </si>
  <si>
    <t>Corriente en regimen permanente</t>
  </si>
  <si>
    <t>Corriente en vacio [A]</t>
  </si>
  <si>
    <t>alpha</t>
  </si>
  <si>
    <t>ts (ms)</t>
  </si>
  <si>
    <t xml:space="preserve">f </t>
  </si>
  <si>
    <t>oiko</t>
  </si>
  <si>
    <t>oikoite</t>
  </si>
  <si>
    <t>Régimen transitorio</t>
  </si>
  <si>
    <t>Régimen Permanente</t>
  </si>
  <si>
    <t>ndoikoi</t>
  </si>
  <si>
    <t xml:space="preserve">Kp = </t>
  </si>
  <si>
    <t xml:space="preserve">Ki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</si>
</sst>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4E5B61"/>
      <name val="Arial Unicode MS"/>
    </font>
    <font>
      <sz val="11"/>
      <color rgb="FF4E5B61"/>
      <name val="Segoe UI"/>
      <family val="2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Velocidad (RPM) vs Tiempo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Velocidad!$D$3</c:f>
              <c:strCache>
                <c:ptCount val="1"/>
                <c:pt idx="0">
                  <c:v>Velocidad 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Velocidad!$C$4:$C$27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</c:numCache>
            </c:numRef>
          </c:xVal>
          <c:yVal>
            <c:numRef>
              <c:f>Velocidad!$D$4:$D$27</c:f>
              <c:numCache>
                <c:formatCode>General</c:formatCode>
                <c:ptCount val="24"/>
                <c:pt idx="0">
                  <c:v>0</c:v>
                </c:pt>
                <c:pt idx="1">
                  <c:v>171.43</c:v>
                </c:pt>
                <c:pt idx="2">
                  <c:v>514.29</c:v>
                </c:pt>
                <c:pt idx="3">
                  <c:v>685.71</c:v>
                </c:pt>
                <c:pt idx="4">
                  <c:v>857.14</c:v>
                </c:pt>
                <c:pt idx="5">
                  <c:v>1028.57</c:v>
                </c:pt>
                <c:pt idx="6">
                  <c:v>1114.29</c:v>
                </c:pt>
                <c:pt idx="7">
                  <c:v>1285.71</c:v>
                </c:pt>
                <c:pt idx="8">
                  <c:v>1285.71</c:v>
                </c:pt>
                <c:pt idx="9">
                  <c:v>1285.71</c:v>
                </c:pt>
                <c:pt idx="10">
                  <c:v>1371.43</c:v>
                </c:pt>
                <c:pt idx="11">
                  <c:v>1457.14</c:v>
                </c:pt>
                <c:pt idx="12">
                  <c:v>1371.43</c:v>
                </c:pt>
                <c:pt idx="13">
                  <c:v>1457.14</c:v>
                </c:pt>
                <c:pt idx="14">
                  <c:v>1542.86</c:v>
                </c:pt>
                <c:pt idx="15">
                  <c:v>1457.14</c:v>
                </c:pt>
                <c:pt idx="16">
                  <c:v>1457.14</c:v>
                </c:pt>
                <c:pt idx="17">
                  <c:v>1542.86</c:v>
                </c:pt>
                <c:pt idx="18">
                  <c:v>1457.14</c:v>
                </c:pt>
                <c:pt idx="19">
                  <c:v>1542.86</c:v>
                </c:pt>
                <c:pt idx="20">
                  <c:v>1542.86</c:v>
                </c:pt>
                <c:pt idx="21">
                  <c:v>1457.14</c:v>
                </c:pt>
                <c:pt idx="22">
                  <c:v>1542.86</c:v>
                </c:pt>
                <c:pt idx="23">
                  <c:v>1542.86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3-42C1-9F83-86988033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73200"/>
        <c:axId val="1420572720"/>
      </c:scatterChart>
      <c:valAx>
        <c:axId val="142057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0572720"/>
        <c:crosses val="autoZero"/>
        <c:crossBetween val="midCat"/>
      </c:valAx>
      <c:valAx>
        <c:axId val="142057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2057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Velocidad vs</a:t>
            </a:r>
            <a:r>
              <a:rPr lang="es-PY" baseline="0"/>
              <a:t> Tiempo</a:t>
            </a:r>
            <a:endParaRPr lang="es-P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Velocidad!$D$3</c:f>
              <c:strCache>
                <c:ptCount val="1"/>
                <c:pt idx="0">
                  <c:v>Velocidad (RPM)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Velocidad!$C$4:$C$27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</c:numCache>
            </c:numRef>
          </c:cat>
          <c:val>
            <c:numRef>
              <c:f>Velocidad!$D$4:$D$27</c:f>
              <c:numCache>
                <c:formatCode>General</c:formatCode>
                <c:ptCount val="24"/>
                <c:pt idx="0">
                  <c:v>0</c:v>
                </c:pt>
                <c:pt idx="1">
                  <c:v>171.43</c:v>
                </c:pt>
                <c:pt idx="2">
                  <c:v>514.29</c:v>
                </c:pt>
                <c:pt idx="3">
                  <c:v>685.71</c:v>
                </c:pt>
                <c:pt idx="4">
                  <c:v>857.14</c:v>
                </c:pt>
                <c:pt idx="5">
                  <c:v>1028.57</c:v>
                </c:pt>
                <c:pt idx="6">
                  <c:v>1114.29</c:v>
                </c:pt>
                <c:pt idx="7">
                  <c:v>1285.71</c:v>
                </c:pt>
                <c:pt idx="8">
                  <c:v>1285.71</c:v>
                </c:pt>
                <c:pt idx="9">
                  <c:v>1285.71</c:v>
                </c:pt>
                <c:pt idx="10">
                  <c:v>1371.43</c:v>
                </c:pt>
                <c:pt idx="11">
                  <c:v>1457.14</c:v>
                </c:pt>
                <c:pt idx="12">
                  <c:v>1371.43</c:v>
                </c:pt>
                <c:pt idx="13">
                  <c:v>1457.14</c:v>
                </c:pt>
                <c:pt idx="14">
                  <c:v>1542.86</c:v>
                </c:pt>
                <c:pt idx="15">
                  <c:v>1457.14</c:v>
                </c:pt>
                <c:pt idx="16">
                  <c:v>1457.14</c:v>
                </c:pt>
                <c:pt idx="17">
                  <c:v>1542.86</c:v>
                </c:pt>
                <c:pt idx="18">
                  <c:v>1457.14</c:v>
                </c:pt>
                <c:pt idx="19">
                  <c:v>1542.86</c:v>
                </c:pt>
                <c:pt idx="20">
                  <c:v>1542.86</c:v>
                </c:pt>
                <c:pt idx="21">
                  <c:v>1457.14</c:v>
                </c:pt>
                <c:pt idx="22">
                  <c:v>1542.86</c:v>
                </c:pt>
                <c:pt idx="23">
                  <c:v>1542.86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C-424B-B694-0B86428574F8}"/>
            </c:ext>
          </c:extLst>
        </c:ser>
        <c:ser>
          <c:idx val="1"/>
          <c:order val="1"/>
          <c:tx>
            <c:strRef>
              <c:f>Velocidad!$E$3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Velocidad!$C$4:$C$27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</c:numCache>
            </c:numRef>
          </c:cat>
          <c:val>
            <c:numRef>
              <c:f>Velocidad!$E$4:$E$27</c:f>
              <c:numCache>
                <c:formatCode>General</c:formatCode>
                <c:ptCount val="2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C-424B-B694-0B864285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940943"/>
        <c:axId val="1146939983"/>
      </c:lineChart>
      <c:catAx>
        <c:axId val="11469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46939983"/>
        <c:crosses val="autoZero"/>
        <c:auto val="1"/>
        <c:lblAlgn val="ctr"/>
        <c:lblOffset val="100"/>
        <c:noMultiLvlLbl val="0"/>
      </c:catAx>
      <c:valAx>
        <c:axId val="11469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4694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166687</xdr:rowOff>
    </xdr:from>
    <xdr:to>
      <xdr:col>12</xdr:col>
      <xdr:colOff>0</xdr:colOff>
      <xdr:row>17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5A9CBD-47A2-0A41-E9E0-17C63DE11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757237</xdr:colOff>
      <xdr:row>28</xdr:row>
      <xdr:rowOff>33337</xdr:rowOff>
    </xdr:from>
    <xdr:to>
      <xdr:col>7</xdr:col>
      <xdr:colOff>433387</xdr:colOff>
      <xdr:row>42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588CCF-C6D5-5D0F-FC89-9BDAEE0E9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s Gonzalez" id="{4D96F42A-2912-420B-B9B4-A1A61BEE031F}" userId="8fa820dbf13b2b2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5-07T19:15:37.45" personId="{4D96F42A-2912-420B-B9B4-A1A61BEE031F}" id="{153150E6-C565-4DC9-ACC0-A7705D398430}">
    <text xml:space="preserve">Medido directamente entre los cables del devanado del motor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A216-4E80-4B3C-9DF1-67AD088E19F0}">
  <dimension ref="C2:L22"/>
  <sheetViews>
    <sheetView topLeftCell="A7" workbookViewId="0">
      <selection activeCell="G16" sqref="G16"/>
    </sheetView>
  </sheetViews>
  <sheetFormatPr baseColWidth="10" defaultRowHeight="15"/>
  <cols>
    <col min="4" max="4" width="23.28515625" bestFit="1" customWidth="1"/>
    <col min="5" max="5" width="21.85546875" bestFit="1" customWidth="1"/>
    <col min="7" max="7" width="21.85546875" bestFit="1" customWidth="1"/>
  </cols>
  <sheetData>
    <row r="2" spans="3:12">
      <c r="D2" t="s">
        <v>0</v>
      </c>
    </row>
    <row r="3" spans="3:12">
      <c r="C3" t="s">
        <v>6</v>
      </c>
      <c r="D3" t="s">
        <v>1</v>
      </c>
      <c r="E3" t="s">
        <v>2</v>
      </c>
      <c r="F3" t="s">
        <v>3</v>
      </c>
    </row>
    <row r="4" spans="3:12">
      <c r="C4">
        <v>1</v>
      </c>
      <c r="D4">
        <v>1.423</v>
      </c>
      <c r="E4">
        <f>39.8/1000</f>
        <v>3.9799999999999995E-2</v>
      </c>
      <c r="F4" s="1">
        <f>D4/E4</f>
        <v>35.753768844221113</v>
      </c>
      <c r="G4">
        <v>17.8</v>
      </c>
      <c r="L4" s="2"/>
    </row>
    <row r="5" spans="3:12">
      <c r="C5">
        <v>2</v>
      </c>
      <c r="L5" s="2"/>
    </row>
    <row r="6" spans="3:12">
      <c r="C6">
        <v>3</v>
      </c>
      <c r="L6" s="2"/>
    </row>
    <row r="7" spans="3:12">
      <c r="L7" s="2"/>
    </row>
    <row r="8" spans="3:12">
      <c r="L8" s="2"/>
    </row>
    <row r="9" spans="3:12">
      <c r="L9" s="2"/>
    </row>
    <row r="10" spans="3:12">
      <c r="E10" t="s">
        <v>4</v>
      </c>
      <c r="L10" s="2"/>
    </row>
    <row r="11" spans="3:12">
      <c r="C11" t="s">
        <v>6</v>
      </c>
      <c r="D11" t="s">
        <v>5</v>
      </c>
      <c r="E11" t="s">
        <v>7</v>
      </c>
      <c r="F11" t="s">
        <v>8</v>
      </c>
      <c r="G11" t="s">
        <v>2</v>
      </c>
      <c r="H11" t="s">
        <v>15</v>
      </c>
      <c r="L11" s="2"/>
    </row>
    <row r="12" spans="3:12">
      <c r="C12">
        <v>1</v>
      </c>
      <c r="D12">
        <v>6.07</v>
      </c>
      <c r="E12">
        <v>1560</v>
      </c>
      <c r="F12">
        <f>E12*((2*PI())/60)</f>
        <v>163.36281798666923</v>
      </c>
      <c r="G12">
        <f>29.2/1000</f>
        <v>2.92E-2</v>
      </c>
      <c r="H12" s="1">
        <f>(D12-F4*G12)/F12</f>
        <v>3.0765813247411511E-2</v>
      </c>
      <c r="L12" s="2"/>
    </row>
    <row r="13" spans="3:12">
      <c r="L13" s="2"/>
    </row>
    <row r="14" spans="3:12">
      <c r="L14" s="2"/>
    </row>
    <row r="15" spans="3:12" ht="16.5">
      <c r="L15" s="3"/>
    </row>
    <row r="16" spans="3:12" ht="16.5">
      <c r="D16" t="s">
        <v>19</v>
      </c>
      <c r="L16" s="3"/>
    </row>
    <row r="17" spans="3:12" ht="16.5">
      <c r="C17" t="s">
        <v>17</v>
      </c>
      <c r="D17" t="s">
        <v>20</v>
      </c>
      <c r="L17" s="3"/>
    </row>
    <row r="18" spans="3:12" ht="16.5">
      <c r="C18">
        <v>1</v>
      </c>
      <c r="D18">
        <f>32/1000</f>
        <v>3.2000000000000001E-2</v>
      </c>
      <c r="L18" s="3"/>
    </row>
    <row r="19" spans="3:12">
      <c r="C19">
        <v>2</v>
      </c>
      <c r="D19">
        <f>31.7/1000</f>
        <v>3.1699999999999999E-2</v>
      </c>
    </row>
    <row r="20" spans="3:12">
      <c r="C20">
        <v>3</v>
      </c>
      <c r="D20">
        <f>30/1000</f>
        <v>0.03</v>
      </c>
    </row>
    <row r="21" spans="3:12">
      <c r="C21">
        <v>4</v>
      </c>
      <c r="D21">
        <f>31.5/1000</f>
        <v>3.15E-2</v>
      </c>
    </row>
    <row r="22" spans="3:12">
      <c r="C22" t="s">
        <v>18</v>
      </c>
      <c r="D22">
        <f>(D18+D19+D20+D21)/C21</f>
        <v>3.1300000000000001E-2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DDF1-B3B9-4F94-BDDC-D67571985089}">
  <dimension ref="C2:I27"/>
  <sheetViews>
    <sheetView topLeftCell="A22" workbookViewId="0">
      <selection activeCell="F8" sqref="F8"/>
    </sheetView>
  </sheetViews>
  <sheetFormatPr baseColWidth="10" defaultRowHeight="15"/>
  <cols>
    <col min="3" max="3" width="12.140625" bestFit="1" customWidth="1"/>
    <col min="4" max="4" width="15.5703125" bestFit="1" customWidth="1"/>
  </cols>
  <sheetData>
    <row r="2" spans="3:8">
      <c r="H2" t="s">
        <v>16</v>
      </c>
    </row>
    <row r="3" spans="3:8">
      <c r="C3" t="s">
        <v>9</v>
      </c>
      <c r="D3" t="s">
        <v>10</v>
      </c>
    </row>
    <row r="4" spans="3:8">
      <c r="C4">
        <v>0</v>
      </c>
      <c r="D4">
        <v>0</v>
      </c>
      <c r="E4">
        <v>1500</v>
      </c>
    </row>
    <row r="5" spans="3:8">
      <c r="C5">
        <v>10</v>
      </c>
      <c r="D5">
        <v>171.43</v>
      </c>
      <c r="E5">
        <v>1500</v>
      </c>
    </row>
    <row r="6" spans="3:8">
      <c r="C6">
        <v>20</v>
      </c>
      <c r="D6">
        <v>514.29</v>
      </c>
      <c r="E6">
        <v>1500</v>
      </c>
    </row>
    <row r="7" spans="3:8">
      <c r="C7">
        <v>30</v>
      </c>
      <c r="D7">
        <v>685.71</v>
      </c>
      <c r="E7">
        <v>1500</v>
      </c>
    </row>
    <row r="8" spans="3:8">
      <c r="C8">
        <v>40</v>
      </c>
      <c r="D8">
        <v>857.14</v>
      </c>
      <c r="E8">
        <v>1500</v>
      </c>
    </row>
    <row r="9" spans="3:8">
      <c r="C9">
        <v>50</v>
      </c>
      <c r="D9">
        <v>1028.57</v>
      </c>
      <c r="E9">
        <v>1500</v>
      </c>
    </row>
    <row r="10" spans="3:8">
      <c r="C10">
        <v>60</v>
      </c>
      <c r="D10">
        <v>1114.29</v>
      </c>
      <c r="E10">
        <v>1500</v>
      </c>
    </row>
    <row r="11" spans="3:8">
      <c r="C11">
        <v>70</v>
      </c>
      <c r="D11">
        <v>1285.71</v>
      </c>
      <c r="E11">
        <v>1500</v>
      </c>
    </row>
    <row r="12" spans="3:8">
      <c r="C12">
        <v>80</v>
      </c>
      <c r="D12">
        <v>1285.71</v>
      </c>
      <c r="E12">
        <v>1500</v>
      </c>
    </row>
    <row r="13" spans="3:8">
      <c r="C13">
        <v>90</v>
      </c>
      <c r="D13">
        <v>1285.71</v>
      </c>
      <c r="E13">
        <v>1500</v>
      </c>
    </row>
    <row r="14" spans="3:8">
      <c r="C14">
        <v>100</v>
      </c>
      <c r="D14">
        <v>1371.43</v>
      </c>
      <c r="E14">
        <v>1500</v>
      </c>
    </row>
    <row r="15" spans="3:8">
      <c r="C15">
        <v>110</v>
      </c>
      <c r="D15">
        <v>1457.14</v>
      </c>
      <c r="E15">
        <v>1500</v>
      </c>
    </row>
    <row r="16" spans="3:8">
      <c r="C16">
        <v>120</v>
      </c>
      <c r="D16">
        <v>1371.43</v>
      </c>
      <c r="E16">
        <v>1500</v>
      </c>
    </row>
    <row r="17" spans="3:9">
      <c r="C17">
        <v>130</v>
      </c>
      <c r="D17">
        <v>1457.14</v>
      </c>
      <c r="E17">
        <v>1500</v>
      </c>
    </row>
    <row r="18" spans="3:9">
      <c r="C18">
        <v>140</v>
      </c>
      <c r="D18">
        <v>1542.86</v>
      </c>
      <c r="E18">
        <v>1500</v>
      </c>
    </row>
    <row r="19" spans="3:9">
      <c r="C19">
        <v>150</v>
      </c>
      <c r="D19">
        <v>1457.14</v>
      </c>
      <c r="E19">
        <v>1500</v>
      </c>
    </row>
    <row r="20" spans="3:9">
      <c r="C20">
        <v>160</v>
      </c>
      <c r="D20">
        <v>1457.14</v>
      </c>
      <c r="E20">
        <v>1500</v>
      </c>
      <c r="G20" t="s">
        <v>11</v>
      </c>
      <c r="I20">
        <f>(D17+D18+D19+D20+D21+D22+D23+D24+D25+D26+D27)/11</f>
        <v>1503.8963636363637</v>
      </c>
    </row>
    <row r="21" spans="3:9">
      <c r="C21">
        <v>170</v>
      </c>
      <c r="D21">
        <v>1542.86</v>
      </c>
      <c r="E21">
        <v>1500</v>
      </c>
    </row>
    <row r="22" spans="3:9">
      <c r="C22">
        <v>180</v>
      </c>
      <c r="D22">
        <v>1457.14</v>
      </c>
      <c r="E22">
        <v>1500</v>
      </c>
      <c r="G22" t="s">
        <v>12</v>
      </c>
      <c r="I22">
        <f>0.632*I20</f>
        <v>950.46250181818186</v>
      </c>
    </row>
    <row r="23" spans="3:9">
      <c r="C23">
        <v>190</v>
      </c>
      <c r="D23">
        <v>1542.86</v>
      </c>
      <c r="E23">
        <v>1500</v>
      </c>
    </row>
    <row r="24" spans="3:9">
      <c r="C24">
        <v>200</v>
      </c>
      <c r="D24">
        <v>1542.86</v>
      </c>
      <c r="E24">
        <v>1500</v>
      </c>
      <c r="G24" t="s">
        <v>13</v>
      </c>
      <c r="I24">
        <f>C8+((I22-D8)/(D9-D8))*(C9-C8)</f>
        <v>45.443767241333603</v>
      </c>
    </row>
    <row r="25" spans="3:9">
      <c r="C25">
        <v>210</v>
      </c>
      <c r="D25">
        <v>1457.14</v>
      </c>
      <c r="E25">
        <v>1500</v>
      </c>
    </row>
    <row r="26" spans="3:9">
      <c r="C26">
        <v>220</v>
      </c>
      <c r="D26">
        <v>1542.86</v>
      </c>
      <c r="E26">
        <v>1500</v>
      </c>
      <c r="H26" s="4" t="s">
        <v>14</v>
      </c>
      <c r="I26">
        <f>I24/1000</f>
        <v>4.5443767241333602E-2</v>
      </c>
    </row>
    <row r="27" spans="3:9">
      <c r="C27">
        <v>230</v>
      </c>
      <c r="D27">
        <v>1542.86</v>
      </c>
      <c r="E27">
        <v>1500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6DB1-2E25-46A9-B057-95B621E80588}">
  <dimension ref="B1:L21"/>
  <sheetViews>
    <sheetView tabSelected="1" workbookViewId="0">
      <selection activeCell="G14" sqref="G14"/>
    </sheetView>
  </sheetViews>
  <sheetFormatPr baseColWidth="10" defaultRowHeight="15"/>
  <cols>
    <col min="3" max="3" width="12.85546875" bestFit="1" customWidth="1"/>
    <col min="5" max="5" width="18.42578125" bestFit="1" customWidth="1"/>
    <col min="6" max="6" width="19.7109375" bestFit="1" customWidth="1"/>
    <col min="11" max="11" width="18.42578125" bestFit="1" customWidth="1"/>
    <col min="12" max="12" width="19.7109375" bestFit="1" customWidth="1"/>
  </cols>
  <sheetData>
    <row r="1" spans="2:12">
      <c r="B1" s="5" t="s">
        <v>29</v>
      </c>
      <c r="C1" s="6">
        <v>6.2786999999999996E-2</v>
      </c>
      <c r="D1" s="5" t="s">
        <v>30</v>
      </c>
      <c r="E1" s="7">
        <v>1.8219000000000001</v>
      </c>
      <c r="H1" s="5" t="s">
        <v>29</v>
      </c>
      <c r="I1" s="7">
        <v>3.9868000000000001E-2</v>
      </c>
      <c r="J1" s="5" t="s">
        <v>30</v>
      </c>
      <c r="K1" s="7">
        <v>2.6332</v>
      </c>
    </row>
    <row r="2" spans="2:12">
      <c r="B2" t="s">
        <v>22</v>
      </c>
      <c r="C2" t="s">
        <v>23</v>
      </c>
      <c r="D2" t="s">
        <v>21</v>
      </c>
      <c r="E2" t="s">
        <v>26</v>
      </c>
      <c r="F2" t="s">
        <v>27</v>
      </c>
      <c r="H2" t="s">
        <v>22</v>
      </c>
      <c r="I2" t="s">
        <v>23</v>
      </c>
      <c r="J2" t="s">
        <v>21</v>
      </c>
      <c r="K2" t="s">
        <v>26</v>
      </c>
      <c r="L2" t="s">
        <v>27</v>
      </c>
    </row>
    <row r="3" spans="2:12">
      <c r="B3">
        <v>10</v>
      </c>
      <c r="C3">
        <v>1</v>
      </c>
      <c r="D3">
        <v>0.2</v>
      </c>
      <c r="E3" t="s">
        <v>24</v>
      </c>
      <c r="H3">
        <v>10</v>
      </c>
      <c r="I3">
        <v>1</v>
      </c>
      <c r="J3">
        <v>0.6</v>
      </c>
      <c r="K3" t="s">
        <v>24</v>
      </c>
      <c r="L3" t="s">
        <v>28</v>
      </c>
    </row>
    <row r="4" spans="2:12">
      <c r="B4">
        <v>10</v>
      </c>
      <c r="C4">
        <v>1</v>
      </c>
      <c r="D4">
        <v>0.3</v>
      </c>
      <c r="E4" t="s">
        <v>25</v>
      </c>
      <c r="H4">
        <v>10</v>
      </c>
      <c r="I4">
        <v>1</v>
      </c>
      <c r="J4">
        <v>0.4</v>
      </c>
      <c r="K4" t="s">
        <v>24</v>
      </c>
      <c r="L4" t="s">
        <v>28</v>
      </c>
    </row>
    <row r="5" spans="2:12">
      <c r="B5">
        <v>10</v>
      </c>
      <c r="C5">
        <v>1</v>
      </c>
      <c r="D5">
        <v>0.4</v>
      </c>
      <c r="E5" t="s">
        <v>24</v>
      </c>
      <c r="H5">
        <v>10</v>
      </c>
      <c r="I5">
        <v>1</v>
      </c>
      <c r="J5">
        <v>0.3</v>
      </c>
      <c r="K5" t="s">
        <v>24</v>
      </c>
      <c r="L5" t="s">
        <v>24</v>
      </c>
    </row>
    <row r="6" spans="2:12">
      <c r="B6">
        <v>20</v>
      </c>
      <c r="C6">
        <v>1</v>
      </c>
      <c r="D6">
        <v>0.6</v>
      </c>
      <c r="E6" t="s">
        <v>25</v>
      </c>
      <c r="F6" t="s">
        <v>24</v>
      </c>
      <c r="H6">
        <v>10</v>
      </c>
      <c r="I6">
        <v>1</v>
      </c>
      <c r="J6">
        <v>0.2</v>
      </c>
      <c r="K6" t="s">
        <v>28</v>
      </c>
      <c r="L6" t="s">
        <v>24</v>
      </c>
    </row>
    <row r="7" spans="2:12">
      <c r="B7">
        <v>20</v>
      </c>
      <c r="C7">
        <v>1</v>
      </c>
      <c r="D7">
        <v>0.5</v>
      </c>
      <c r="E7" t="s">
        <v>25</v>
      </c>
      <c r="F7" t="s">
        <v>24</v>
      </c>
      <c r="H7">
        <v>20</v>
      </c>
      <c r="I7">
        <v>1</v>
      </c>
      <c r="J7">
        <v>0.5</v>
      </c>
      <c r="K7" t="s">
        <v>24</v>
      </c>
      <c r="L7" t="s">
        <v>24</v>
      </c>
    </row>
    <row r="8" spans="2:12">
      <c r="B8" s="1">
        <v>20</v>
      </c>
      <c r="C8" s="1">
        <v>1</v>
      </c>
      <c r="D8" s="1">
        <v>0.4</v>
      </c>
      <c r="E8" s="1" t="s">
        <v>25</v>
      </c>
      <c r="F8" s="1" t="s">
        <v>25</v>
      </c>
      <c r="H8">
        <v>20</v>
      </c>
      <c r="I8">
        <v>1</v>
      </c>
      <c r="J8">
        <v>0.6</v>
      </c>
      <c r="K8" t="s">
        <v>24</v>
      </c>
      <c r="L8" t="s">
        <v>24</v>
      </c>
    </row>
    <row r="9" spans="2:12">
      <c r="B9" s="1">
        <v>20</v>
      </c>
      <c r="C9" s="1">
        <v>1</v>
      </c>
      <c r="D9" s="1">
        <v>0.3</v>
      </c>
      <c r="E9" s="1" t="s">
        <v>25</v>
      </c>
      <c r="F9" s="1" t="s">
        <v>25</v>
      </c>
      <c r="H9">
        <v>20</v>
      </c>
      <c r="I9">
        <v>1</v>
      </c>
      <c r="J9">
        <v>0.9</v>
      </c>
      <c r="K9" t="s">
        <v>24</v>
      </c>
      <c r="L9" t="s">
        <v>28</v>
      </c>
    </row>
    <row r="10" spans="2:12">
      <c r="B10">
        <v>20</v>
      </c>
      <c r="C10">
        <v>1</v>
      </c>
      <c r="D10">
        <v>0.1</v>
      </c>
      <c r="E10" t="s">
        <v>24</v>
      </c>
      <c r="H10">
        <v>30</v>
      </c>
      <c r="I10">
        <v>1</v>
      </c>
      <c r="J10">
        <v>0.9</v>
      </c>
      <c r="K10" t="s">
        <v>24</v>
      </c>
      <c r="L10" t="s">
        <v>28</v>
      </c>
    </row>
    <row r="11" spans="2:12">
      <c r="B11">
        <v>30</v>
      </c>
      <c r="C11">
        <v>1</v>
      </c>
      <c r="D11">
        <v>0.9</v>
      </c>
      <c r="E11" t="s">
        <v>24</v>
      </c>
      <c r="H11">
        <v>30</v>
      </c>
      <c r="I11">
        <v>1</v>
      </c>
      <c r="J11">
        <v>1</v>
      </c>
      <c r="K11" t="s">
        <v>24</v>
      </c>
      <c r="L11" t="s">
        <v>28</v>
      </c>
    </row>
    <row r="12" spans="2:12">
      <c r="B12">
        <v>30</v>
      </c>
      <c r="C12">
        <v>1</v>
      </c>
      <c r="D12">
        <v>0.6</v>
      </c>
      <c r="E12" t="s">
        <v>24</v>
      </c>
      <c r="H12">
        <v>40</v>
      </c>
      <c r="I12">
        <v>1</v>
      </c>
    </row>
    <row r="13" spans="2:12">
      <c r="B13">
        <v>40</v>
      </c>
      <c r="C13">
        <v>1</v>
      </c>
      <c r="D13">
        <v>0.6</v>
      </c>
      <c r="E13" t="s">
        <v>24</v>
      </c>
      <c r="F13" t="s">
        <v>24</v>
      </c>
    </row>
    <row r="14" spans="2:12">
      <c r="B14">
        <v>40</v>
      </c>
      <c r="C14">
        <v>1</v>
      </c>
      <c r="D14">
        <v>0.7</v>
      </c>
      <c r="E14" t="s">
        <v>24</v>
      </c>
      <c r="F14" t="s">
        <v>24</v>
      </c>
    </row>
    <row r="15" spans="2:12">
      <c r="B15">
        <v>40</v>
      </c>
      <c r="C15">
        <v>1</v>
      </c>
      <c r="D15">
        <v>0.9</v>
      </c>
      <c r="E15" t="s">
        <v>24</v>
      </c>
      <c r="F15" t="s">
        <v>24</v>
      </c>
    </row>
    <row r="16" spans="2:12">
      <c r="B16">
        <v>40</v>
      </c>
      <c r="C16">
        <v>1</v>
      </c>
      <c r="D16">
        <v>1</v>
      </c>
      <c r="E16" t="s">
        <v>24</v>
      </c>
      <c r="F16" t="s">
        <v>24</v>
      </c>
    </row>
    <row r="17" spans="2:6">
      <c r="B17">
        <v>50</v>
      </c>
      <c r="C17">
        <v>1</v>
      </c>
      <c r="D17">
        <v>0.6</v>
      </c>
      <c r="E17" t="s">
        <v>28</v>
      </c>
      <c r="F17" t="s">
        <v>24</v>
      </c>
    </row>
    <row r="18" spans="2:6">
      <c r="B18">
        <v>50</v>
      </c>
      <c r="C18">
        <v>1</v>
      </c>
      <c r="D18">
        <v>0.9</v>
      </c>
      <c r="E18" t="s">
        <v>24</v>
      </c>
      <c r="F18" t="s">
        <v>24</v>
      </c>
    </row>
    <row r="19" spans="2:6">
      <c r="B19">
        <v>50</v>
      </c>
      <c r="C19">
        <v>1</v>
      </c>
      <c r="D19">
        <v>1</v>
      </c>
      <c r="E19" t="s">
        <v>24</v>
      </c>
      <c r="F19" t="s">
        <v>24</v>
      </c>
    </row>
    <row r="20" spans="2:6">
      <c r="B20">
        <v>50</v>
      </c>
      <c r="C20">
        <v>1</v>
      </c>
      <c r="D20">
        <v>0.9</v>
      </c>
      <c r="E20" t="s">
        <v>28</v>
      </c>
      <c r="F20" t="s">
        <v>24</v>
      </c>
    </row>
    <row r="21" spans="2:6">
      <c r="B21">
        <v>60</v>
      </c>
      <c r="C21">
        <v>1</v>
      </c>
      <c r="D21">
        <v>1</v>
      </c>
      <c r="E21" t="s">
        <v>28</v>
      </c>
      <c r="F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Velocidad</vt:lpstr>
      <vt:lpstr>Discretización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 Gonzalez</dc:creator>
  <cp:lastModifiedBy>Danis Gonzalez</cp:lastModifiedBy>
  <dcterms:created xsi:type="dcterms:W3CDTF">2026-05-07T15:05:07Z</dcterms:created>
  <dcterms:modified xsi:type="dcterms:W3CDTF">2026-05-15T04:09:57Z</dcterms:modified>
</cp:coreProperties>
</file>